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c71cc3d4d2a2610/Documents/"/>
    </mc:Choice>
  </mc:AlternateContent>
  <xr:revisionPtr revIDLastSave="173" documentId="8_{D7153138-B69D-432C-94BF-B7EDA0E41D78}" xr6:coauthVersionLast="47" xr6:coauthVersionMax="47" xr10:uidLastSave="{F5997ADD-7731-404C-8565-E9CF5781BD47}"/>
  <bookViews>
    <workbookView xWindow="-108" yWindow="-108" windowWidth="23256" windowHeight="13176" xr2:uid="{6C8E3DF6-6318-4EAA-AEE9-8AEE4556642F}"/>
  </bookViews>
  <sheets>
    <sheet name="RECIPES_DB" sheetId="3" r:id="rId1"/>
    <sheet name="FLAVOR_PAIRING_DB" sheetId="2" r:id="rId2"/>
    <sheet name="USER_PROFILE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" i="3" l="1"/>
  <c r="Q14" i="3"/>
  <c r="Q7" i="3"/>
  <c r="Q4" i="3"/>
  <c r="Q8" i="3"/>
  <c r="Q15" i="3"/>
  <c r="Q5" i="3"/>
  <c r="Q16" i="3"/>
  <c r="Q9" i="3"/>
  <c r="Q10" i="3"/>
  <c r="Q6" i="3"/>
  <c r="Q11" i="3"/>
  <c r="Q12" i="3"/>
  <c r="Q17" i="3"/>
  <c r="Q18" i="3"/>
  <c r="Q19" i="3"/>
  <c r="Q13" i="3"/>
  <c r="Q20" i="3"/>
  <c r="Q21" i="3"/>
  <c r="P3" i="3"/>
  <c r="P14" i="3"/>
  <c r="P7" i="3"/>
  <c r="P4" i="3"/>
  <c r="P8" i="3"/>
  <c r="P15" i="3"/>
  <c r="P5" i="3"/>
  <c r="P16" i="3"/>
  <c r="P9" i="3"/>
  <c r="P10" i="3"/>
  <c r="P6" i="3"/>
  <c r="P11" i="3"/>
  <c r="P12" i="3"/>
  <c r="P17" i="3"/>
  <c r="P18" i="3"/>
  <c r="P19" i="3"/>
  <c r="P13" i="3"/>
  <c r="P20" i="3"/>
  <c r="P21" i="3"/>
  <c r="O3" i="3"/>
  <c r="O14" i="3"/>
  <c r="O7" i="3"/>
  <c r="O4" i="3"/>
  <c r="O8" i="3"/>
  <c r="O15" i="3"/>
  <c r="O5" i="3"/>
  <c r="O16" i="3"/>
  <c r="O9" i="3"/>
  <c r="O10" i="3"/>
  <c r="O6" i="3"/>
  <c r="O11" i="3"/>
  <c r="O12" i="3"/>
  <c r="O17" i="3"/>
  <c r="O18" i="3"/>
  <c r="O19" i="3"/>
  <c r="O13" i="3"/>
  <c r="O20" i="3"/>
  <c r="O21" i="3"/>
  <c r="Q2" i="3"/>
  <c r="P2" i="3"/>
  <c r="O2" i="3"/>
  <c r="N10" i="3"/>
  <c r="R10" i="3" s="1"/>
  <c r="N6" i="3"/>
  <c r="R6" i="3" s="1"/>
  <c r="M3" i="3"/>
  <c r="M14" i="3"/>
  <c r="M7" i="3"/>
  <c r="N7" i="3" s="1"/>
  <c r="R7" i="3" s="1"/>
  <c r="M4" i="3"/>
  <c r="M8" i="3"/>
  <c r="M15" i="3"/>
  <c r="M5" i="3"/>
  <c r="M16" i="3"/>
  <c r="M9" i="3"/>
  <c r="M10" i="3"/>
  <c r="M6" i="3"/>
  <c r="M11" i="3"/>
  <c r="M12" i="3"/>
  <c r="M17" i="3"/>
  <c r="M18" i="3"/>
  <c r="N18" i="3" s="1"/>
  <c r="R18" i="3" s="1"/>
  <c r="M19" i="3"/>
  <c r="M13" i="3"/>
  <c r="M20" i="3"/>
  <c r="M21" i="3"/>
  <c r="L3" i="3"/>
  <c r="L14" i="3"/>
  <c r="L7" i="3"/>
  <c r="L4" i="3"/>
  <c r="L8" i="3"/>
  <c r="L15" i="3"/>
  <c r="L5" i="3"/>
  <c r="L16" i="3"/>
  <c r="N16" i="3" s="1"/>
  <c r="R16" i="3" s="1"/>
  <c r="L9" i="3"/>
  <c r="N9" i="3" s="1"/>
  <c r="R9" i="3" s="1"/>
  <c r="L10" i="3"/>
  <c r="L6" i="3"/>
  <c r="L11" i="3"/>
  <c r="L12" i="3"/>
  <c r="L17" i="3"/>
  <c r="L18" i="3"/>
  <c r="L19" i="3"/>
  <c r="L13" i="3"/>
  <c r="L20" i="3"/>
  <c r="L21" i="3"/>
  <c r="K3" i="3"/>
  <c r="N3" i="3" s="1"/>
  <c r="R3" i="3" s="1"/>
  <c r="K14" i="3"/>
  <c r="N14" i="3" s="1"/>
  <c r="R14" i="3" s="1"/>
  <c r="K7" i="3"/>
  <c r="K4" i="3"/>
  <c r="N4" i="3" s="1"/>
  <c r="R4" i="3" s="1"/>
  <c r="K8" i="3"/>
  <c r="N8" i="3" s="1"/>
  <c r="R8" i="3" s="1"/>
  <c r="K15" i="3"/>
  <c r="N15" i="3" s="1"/>
  <c r="R15" i="3" s="1"/>
  <c r="K5" i="3"/>
  <c r="N5" i="3" s="1"/>
  <c r="R5" i="3" s="1"/>
  <c r="K16" i="3"/>
  <c r="K9" i="3"/>
  <c r="K10" i="3"/>
  <c r="K6" i="3"/>
  <c r="K11" i="3"/>
  <c r="N11" i="3" s="1"/>
  <c r="R11" i="3" s="1"/>
  <c r="K12" i="3"/>
  <c r="N12" i="3" s="1"/>
  <c r="R12" i="3" s="1"/>
  <c r="K17" i="3"/>
  <c r="N17" i="3" s="1"/>
  <c r="R17" i="3" s="1"/>
  <c r="K18" i="3"/>
  <c r="K19" i="3"/>
  <c r="N19" i="3" s="1"/>
  <c r="R19" i="3" s="1"/>
  <c r="K13" i="3"/>
  <c r="N13" i="3" s="1"/>
  <c r="R13" i="3" s="1"/>
  <c r="K20" i="3"/>
  <c r="N20" i="3" s="1"/>
  <c r="R20" i="3" s="1"/>
  <c r="K21" i="3"/>
  <c r="N21" i="3" s="1"/>
  <c r="R21" i="3" s="1"/>
  <c r="L2" i="3"/>
  <c r="M2" i="3"/>
  <c r="K2" i="3"/>
  <c r="N2" i="3" s="1"/>
  <c r="R2" i="3" s="1"/>
</calcChain>
</file>

<file path=xl/sharedStrings.xml><?xml version="1.0" encoding="utf-8"?>
<sst xmlns="http://schemas.openxmlformats.org/spreadsheetml/2006/main" count="165" uniqueCount="88">
  <si>
    <t>RECIPE_ID</t>
  </si>
  <si>
    <t>RECIPE_NAME</t>
  </si>
  <si>
    <t>CUISINE</t>
  </si>
  <si>
    <t>MAIN_INGREDIENT</t>
  </si>
  <si>
    <t>FLAVOR_GROUP</t>
  </si>
  <si>
    <t>CALORIES</t>
  </si>
  <si>
    <t>PROTEIN_G</t>
  </si>
  <si>
    <t>SUGAR_G</t>
  </si>
  <si>
    <t>VEGAN</t>
  </si>
  <si>
    <t>CULTURAL_TAG</t>
  </si>
  <si>
    <t>Paneer Tikka</t>
  </si>
  <si>
    <t>Indian</t>
  </si>
  <si>
    <t>Paneer</t>
  </si>
  <si>
    <t>Creamy</t>
  </si>
  <si>
    <t>No</t>
  </si>
  <si>
    <t>North Indian</t>
  </si>
  <si>
    <t>Vegetable Pulao</t>
  </si>
  <si>
    <t>Rice</t>
  </si>
  <si>
    <t>Mild</t>
  </si>
  <si>
    <t>Yes</t>
  </si>
  <si>
    <t>South Indian</t>
  </si>
  <si>
    <t>Chickpea Curry</t>
  </si>
  <si>
    <t>Middle Eastern</t>
  </si>
  <si>
    <t>Chickpea</t>
  </si>
  <si>
    <t>Earthy</t>
  </si>
  <si>
    <t>Arabic</t>
  </si>
  <si>
    <t>Grilled Tofu Bowl</t>
  </si>
  <si>
    <t>Asian</t>
  </si>
  <si>
    <t>Tofu</t>
  </si>
  <si>
    <t>Umami</t>
  </si>
  <si>
    <t>East Asian</t>
  </si>
  <si>
    <t>Lentil Soup</t>
  </si>
  <si>
    <t>Mediterranean</t>
  </si>
  <si>
    <t>Lentils</t>
  </si>
  <si>
    <t>Greek</t>
  </si>
  <si>
    <t>Vegetable Stir Fry</t>
  </si>
  <si>
    <t>Mixed Vegetables</t>
  </si>
  <si>
    <t>Chinese</t>
  </si>
  <si>
    <t>Quinoa Salad</t>
  </si>
  <si>
    <t>Western</t>
  </si>
  <si>
    <t>Quinoa</t>
  </si>
  <si>
    <t>Fresh</t>
  </si>
  <si>
    <t>Global</t>
  </si>
  <si>
    <t>Palak Paneer</t>
  </si>
  <si>
    <t>Spinach</t>
  </si>
  <si>
    <t>Idli Sambar</t>
  </si>
  <si>
    <t>Rice &amp; Lentils</t>
  </si>
  <si>
    <t>Veggie Burrito</t>
  </si>
  <si>
    <t>Mexican</t>
  </si>
  <si>
    <t>Beans</t>
  </si>
  <si>
    <t>Latin</t>
  </si>
  <si>
    <t>Tofu Scramble</t>
  </si>
  <si>
    <t>Vegetable Korma</t>
  </si>
  <si>
    <t>Hummus &amp; Pita</t>
  </si>
  <si>
    <t>Mushroom Risotto</t>
  </si>
  <si>
    <t>Italian</t>
  </si>
  <si>
    <t>Mushroom</t>
  </si>
  <si>
    <t>Avocado Toast</t>
  </si>
  <si>
    <t>Avocado</t>
  </si>
  <si>
    <t>Vegetable Pad Thai</t>
  </si>
  <si>
    <t>Rice Noodles</t>
  </si>
  <si>
    <t>Sweet</t>
  </si>
  <si>
    <t>Thai</t>
  </si>
  <si>
    <t>Bean &amp; Veg Salad</t>
  </si>
  <si>
    <t>Soya Chunk Curry</t>
  </si>
  <si>
    <t>Soya Chunks</t>
  </si>
  <si>
    <t>Vegetable Upma</t>
  </si>
  <si>
    <t>Semolina</t>
  </si>
  <si>
    <t>Buddha Bowl</t>
  </si>
  <si>
    <t>PAIRED_FLAVOR</t>
  </si>
  <si>
    <t>FLAVOR_SCORE</t>
  </si>
  <si>
    <t>Spicy</t>
  </si>
  <si>
    <t>Cuisine Preference</t>
  </si>
  <si>
    <t>Diet Type</t>
  </si>
  <si>
    <t>Vegan</t>
  </si>
  <si>
    <t>Max Calories</t>
  </si>
  <si>
    <t>Min Protein</t>
  </si>
  <si>
    <t>Low Sugar</t>
  </si>
  <si>
    <t>Preferred Flavor</t>
  </si>
  <si>
    <t>A (PREFERENCE)</t>
  </si>
  <si>
    <t>B (VALUE)</t>
  </si>
  <si>
    <t>PROTEIN_SCORE</t>
  </si>
  <si>
    <t>SUGAR_SCORE</t>
  </si>
  <si>
    <t>CALORIE_SCORE</t>
  </si>
  <si>
    <t>HEALTH_SCORE</t>
  </si>
  <si>
    <t>DIET_MATCH</t>
  </si>
  <si>
    <t>CULTURAL_SCORE</t>
  </si>
  <si>
    <t>PERSONALIZATION_SCORE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</si>
</sst>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ritannic Bold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F65B45-9E75-4D7D-A082-1CEC8C56B3CC}" name="Table1" displayName="Table1" ref="A1:R21" totalsRowShown="0" headerRowDxfId="10">
  <autoFilter ref="A1:R21" xr:uid="{DAF65B45-9E75-4D7D-A082-1CEC8C56B3CC}"/>
  <tableColumns count="18">
    <tableColumn id="1" xr3:uid="{7F41D31A-4D20-4A2D-BDE2-B9872B5D5A6D}" name="RECIPE_ID" dataDxfId="9"/>
    <tableColumn id="2" xr3:uid="{2A64B35D-A71A-4208-8A50-077E23440A31}" name="RECIPE_NAME" dataDxfId="8"/>
    <tableColumn id="3" xr3:uid="{8A2660F6-3FEB-4195-A792-8B4659515D7C}" name="CUISINE" dataDxfId="7"/>
    <tableColumn id="4" xr3:uid="{F2AA7D96-B80E-4AB3-B76A-D12BDB5FDF75}" name="MAIN_INGREDIENT" dataDxfId="6"/>
    <tableColumn id="5" xr3:uid="{5FBF97FD-A977-4B17-AA5B-268466104EFE}" name="FLAVOR_GROUP" dataDxfId="5"/>
    <tableColumn id="6" xr3:uid="{B60C687A-74B6-4300-953C-8A8275517FA3}" name="CALORIES" dataDxfId="4"/>
    <tableColumn id="7" xr3:uid="{0D3458F7-3D85-4600-9572-7535A84243DB}" name="PROTEIN_G" dataDxfId="3"/>
    <tableColumn id="8" xr3:uid="{C8E9EC2D-4356-4F51-936E-B515D5D42A11}" name="SUGAR_G" dataDxfId="2"/>
    <tableColumn id="9" xr3:uid="{9E950015-898B-4A16-B89B-83B68A1AD58B}" name="VEGAN" dataDxfId="1"/>
    <tableColumn id="10" xr3:uid="{2457A1D8-5BC5-4E6C-B430-112A370C106C}" name="CULTURAL_TAG" dataDxfId="0"/>
    <tableColumn id="11" xr3:uid="{143FDAEB-DF76-4EFE-A55B-EF42DF01A62B}" name="PROTEIN_SCORE"/>
    <tableColumn id="12" xr3:uid="{CD45E11C-18D0-4EF5-8A3D-481C061CBC90}" name="SUGAR_SCORE"/>
    <tableColumn id="13" xr3:uid="{50AC15B0-79BA-4F3E-822D-7AC893A17E42}" name="CALORIE_SCORE"/>
    <tableColumn id="14" xr3:uid="{16293AFC-4C59-49A1-AB46-4678AB3BB913}" name="HEALTH_SCORE">
      <calculatedColumnFormula>K2+L2+M2</calculatedColumnFormula>
    </tableColumn>
    <tableColumn id="15" xr3:uid="{5004834E-323A-4037-AB58-C7BA89367C55}" name="DIET_MATCH"/>
    <tableColumn id="16" xr3:uid="{8FF984FC-E5E1-4FCE-98A1-4C5FB5606890}" name="CULTURAL_SCORE"/>
    <tableColumn id="17" xr3:uid="{8E041493-6808-4556-ACF4-25CE7FBBA085}" name="FLAVOR_SCORE">
      <calculatedColumnFormula>IF(E2="Creamy",3,
IF(E2="Umami",2,
IF(E2="Earthy",2,
IF(E2="Fresh",1,
IF(E2="Mild",1,1)))))</calculatedColumnFormula>
    </tableColumn>
    <tableColumn id="18" xr3:uid="{B19F8522-58B6-4290-8EFA-8416A9E3DCF7}" name="PERSONALIZATION_SCORE">
      <calculatedColumnFormula>N2+O2+P2+Q2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23CB0-4A87-4455-923C-90A865684698}">
  <dimension ref="A1:R21"/>
  <sheetViews>
    <sheetView tabSelected="1" workbookViewId="0">
      <pane ySplit="1" topLeftCell="A2" activePane="bottomLeft" state="frozen"/>
      <selection pane="bottomLeft" activeCell="K3" sqref="K3"/>
    </sheetView>
  </sheetViews>
  <sheetFormatPr defaultRowHeight="14.4" x14ac:dyDescent="0.3"/>
  <cols>
    <col min="1" max="1" width="13.44140625" customWidth="1"/>
    <col min="2" max="2" width="18.21875" customWidth="1"/>
    <col min="3" max="3" width="17.88671875" customWidth="1"/>
    <col min="4" max="4" width="20.77734375" customWidth="1"/>
    <col min="5" max="5" width="18.21875" customWidth="1"/>
    <col min="6" max="6" width="12.5546875" customWidth="1"/>
    <col min="7" max="7" width="14.6640625" customWidth="1"/>
    <col min="8" max="8" width="11.77734375" customWidth="1"/>
    <col min="9" max="9" width="9.21875" customWidth="1"/>
    <col min="10" max="10" width="17.5546875" customWidth="1"/>
    <col min="11" max="11" width="19.109375" customWidth="1"/>
    <col min="12" max="12" width="17" customWidth="1"/>
    <col min="13" max="13" width="19" customWidth="1"/>
    <col min="14" max="14" width="18.109375" customWidth="1"/>
    <col min="15" max="15" width="15.21875" customWidth="1"/>
    <col min="16" max="16" width="20.44140625" customWidth="1"/>
    <col min="17" max="17" width="18" customWidth="1"/>
    <col min="18" max="18" width="28.6640625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70</v>
      </c>
      <c r="R1" s="1" t="s">
        <v>87</v>
      </c>
    </row>
    <row r="2" spans="1:18" x14ac:dyDescent="0.3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320</v>
      </c>
      <c r="G2" s="2">
        <v>18</v>
      </c>
      <c r="H2" s="2">
        <v>4</v>
      </c>
      <c r="I2" s="2" t="s">
        <v>14</v>
      </c>
      <c r="J2" s="2" t="s">
        <v>15</v>
      </c>
      <c r="K2">
        <f>IF(G2&gt;=USER_PROFILE!B4,1,0)</f>
        <v>0</v>
      </c>
      <c r="L2">
        <f>IF(AND(USER_PROFILE!B5="Yes",H2&lt;=5),1,0)</f>
        <v>0</v>
      </c>
      <c r="M2">
        <f>IF(F2&lt;=USER_PROFILE!B3,1,0)</f>
        <v>1</v>
      </c>
      <c r="N2">
        <f t="shared" ref="N2:N21" si="0">K2+L2+M2</f>
        <v>1</v>
      </c>
      <c r="O2">
        <f>IF(USER_PROFILE!B2="Vegan",IF(I2="Yes",1,0),1)</f>
        <v>1</v>
      </c>
      <c r="P2">
        <f>IF(C2=USER_PROFILE!B1,1,0)</f>
        <v>0</v>
      </c>
      <c r="Q2">
        <f t="shared" ref="Q2:Q21" si="1">IF(E2="Creamy",3,
IF(E2="Umami",2,
IF(E2="Earthy",2,
IF(E2="Fresh",1,
IF(E2="Mild",1,1)))))</f>
        <v>3</v>
      </c>
      <c r="R2">
        <f t="shared" ref="R2:R21" si="2">N2+O2+P2+Q2</f>
        <v>5</v>
      </c>
    </row>
    <row r="3" spans="1:18" x14ac:dyDescent="0.3">
      <c r="A3" s="2">
        <v>2</v>
      </c>
      <c r="B3" s="2" t="s">
        <v>16</v>
      </c>
      <c r="C3" s="2" t="s">
        <v>11</v>
      </c>
      <c r="D3" s="2" t="s">
        <v>17</v>
      </c>
      <c r="E3" s="2" t="s">
        <v>18</v>
      </c>
      <c r="F3" s="2">
        <v>280</v>
      </c>
      <c r="G3" s="2">
        <v>7</v>
      </c>
      <c r="H3" s="2">
        <v>3</v>
      </c>
      <c r="I3" s="2" t="s">
        <v>19</v>
      </c>
      <c r="J3" s="2" t="s">
        <v>20</v>
      </c>
      <c r="K3">
        <f>IF(G3&gt;=USER_PROFILE!B5,1,0)</f>
        <v>0</v>
      </c>
      <c r="L3">
        <f>IF(AND(USER_PROFILE!B6="Yes",H3&lt;=5),1,0)</f>
        <v>1</v>
      </c>
      <c r="M3">
        <f>IF(F3&lt;=USER_PROFILE!B4,1,0)</f>
        <v>1</v>
      </c>
      <c r="N3">
        <f t="shared" si="0"/>
        <v>2</v>
      </c>
      <c r="O3">
        <f>IF(USER_PROFILE!B3="Vegan",IF(I3="Yes",1,0),1)</f>
        <v>1</v>
      </c>
      <c r="P3">
        <f>IF(C3=USER_PROFILE!B2,1,0)</f>
        <v>1</v>
      </c>
      <c r="Q3">
        <f t="shared" si="1"/>
        <v>1</v>
      </c>
      <c r="R3">
        <f t="shared" si="2"/>
        <v>5</v>
      </c>
    </row>
    <row r="4" spans="1:18" x14ac:dyDescent="0.3">
      <c r="A4" s="2">
        <v>5</v>
      </c>
      <c r="B4" s="2" t="s">
        <v>31</v>
      </c>
      <c r="C4" s="2" t="s">
        <v>32</v>
      </c>
      <c r="D4" s="2" t="s">
        <v>33</v>
      </c>
      <c r="E4" s="2" t="s">
        <v>24</v>
      </c>
      <c r="F4" s="2">
        <v>230</v>
      </c>
      <c r="G4" s="2">
        <v>16</v>
      </c>
      <c r="H4" s="2">
        <v>2</v>
      </c>
      <c r="I4" s="2" t="s">
        <v>19</v>
      </c>
      <c r="J4" s="2" t="s">
        <v>34</v>
      </c>
      <c r="K4">
        <f>IF(G4&gt;=USER_PROFILE!B8,1,0)</f>
        <v>1</v>
      </c>
      <c r="L4">
        <f>IF(AND(USER_PROFILE!B9="Yes",H4&lt;=5),1,0)</f>
        <v>0</v>
      </c>
      <c r="M4">
        <f>IF(F4&lt;=USER_PROFILE!B7,1,0)</f>
        <v>1</v>
      </c>
      <c r="N4">
        <f t="shared" si="0"/>
        <v>2</v>
      </c>
      <c r="O4">
        <f>IF(USER_PROFILE!B6="Vegan",IF(I4="Yes",1,0),1)</f>
        <v>1</v>
      </c>
      <c r="P4">
        <f>IF(C4=USER_PROFILE!B5,1,0)</f>
        <v>0</v>
      </c>
      <c r="Q4">
        <f t="shared" si="1"/>
        <v>2</v>
      </c>
      <c r="R4">
        <f t="shared" si="2"/>
        <v>5</v>
      </c>
    </row>
    <row r="5" spans="1:18" x14ac:dyDescent="0.3">
      <c r="A5" s="2">
        <v>8</v>
      </c>
      <c r="B5" s="2" t="s">
        <v>43</v>
      </c>
      <c r="C5" s="2" t="s">
        <v>11</v>
      </c>
      <c r="D5" s="2" t="s">
        <v>44</v>
      </c>
      <c r="E5" s="2" t="s">
        <v>13</v>
      </c>
      <c r="F5" s="2">
        <v>310</v>
      </c>
      <c r="G5" s="2">
        <v>17</v>
      </c>
      <c r="H5" s="2">
        <v>3</v>
      </c>
      <c r="I5" s="2" t="s">
        <v>14</v>
      </c>
      <c r="J5" s="2" t="s">
        <v>15</v>
      </c>
      <c r="K5">
        <f>IF(G5&gt;=USER_PROFILE!B11,1,0)</f>
        <v>1</v>
      </c>
      <c r="L5">
        <f>IF(AND(USER_PROFILE!B12="Yes",H5&lt;=5),1,0)</f>
        <v>0</v>
      </c>
      <c r="M5">
        <f>IF(F5&lt;=USER_PROFILE!B10,1,0)</f>
        <v>0</v>
      </c>
      <c r="N5">
        <f t="shared" si="0"/>
        <v>1</v>
      </c>
      <c r="O5">
        <f>IF(USER_PROFILE!B9="Vegan",IF(I5="Yes",1,0),1)</f>
        <v>1</v>
      </c>
      <c r="P5">
        <f>IF(C5=USER_PROFILE!B8,1,0)</f>
        <v>0</v>
      </c>
      <c r="Q5">
        <f t="shared" si="1"/>
        <v>3</v>
      </c>
      <c r="R5">
        <f t="shared" si="2"/>
        <v>5</v>
      </c>
    </row>
    <row r="6" spans="1:18" x14ac:dyDescent="0.3">
      <c r="A6" s="2">
        <v>12</v>
      </c>
      <c r="B6" s="2" t="s">
        <v>52</v>
      </c>
      <c r="C6" s="2" t="s">
        <v>11</v>
      </c>
      <c r="D6" s="2" t="s">
        <v>36</v>
      </c>
      <c r="E6" s="2" t="s">
        <v>13</v>
      </c>
      <c r="F6" s="2">
        <v>330</v>
      </c>
      <c r="G6" s="2">
        <v>11</v>
      </c>
      <c r="H6" s="2">
        <v>4</v>
      </c>
      <c r="I6" s="2" t="s">
        <v>19</v>
      </c>
      <c r="J6" s="2" t="s">
        <v>20</v>
      </c>
      <c r="K6">
        <f>IF(G6&gt;=USER_PROFILE!B15,1,0)</f>
        <v>1</v>
      </c>
      <c r="L6">
        <f>IF(AND(USER_PROFILE!B16="Yes",H6&lt;=5),1,0)</f>
        <v>0</v>
      </c>
      <c r="M6">
        <f>IF(F6&lt;=USER_PROFILE!B14,1,0)</f>
        <v>0</v>
      </c>
      <c r="N6">
        <f t="shared" si="0"/>
        <v>1</v>
      </c>
      <c r="O6">
        <f>IF(USER_PROFILE!B13="Vegan",IF(I6="Yes",1,0),1)</f>
        <v>1</v>
      </c>
      <c r="P6">
        <f>IF(C6=USER_PROFILE!B12,1,0)</f>
        <v>0</v>
      </c>
      <c r="Q6">
        <f t="shared" si="1"/>
        <v>3</v>
      </c>
      <c r="R6">
        <f t="shared" si="2"/>
        <v>5</v>
      </c>
    </row>
    <row r="7" spans="1:18" x14ac:dyDescent="0.3">
      <c r="A7" s="2">
        <v>4</v>
      </c>
      <c r="B7" s="2" t="s">
        <v>26</v>
      </c>
      <c r="C7" s="2" t="s">
        <v>27</v>
      </c>
      <c r="D7" s="2" t="s">
        <v>28</v>
      </c>
      <c r="E7" s="2" t="s">
        <v>29</v>
      </c>
      <c r="F7" s="2">
        <v>240</v>
      </c>
      <c r="G7" s="2">
        <v>20</v>
      </c>
      <c r="H7" s="2">
        <v>1</v>
      </c>
      <c r="I7" s="2" t="s">
        <v>19</v>
      </c>
      <c r="J7" s="2" t="s">
        <v>30</v>
      </c>
      <c r="K7">
        <f>IF(G7&gt;=USER_PROFILE!B7,1,0)</f>
        <v>0</v>
      </c>
      <c r="L7">
        <f>IF(AND(USER_PROFILE!B8="Yes",H7&lt;=5),1,0)</f>
        <v>0</v>
      </c>
      <c r="M7">
        <f>IF(F7&lt;=USER_PROFILE!B6,1,0)</f>
        <v>1</v>
      </c>
      <c r="N7">
        <f t="shared" si="0"/>
        <v>1</v>
      </c>
      <c r="O7">
        <f>IF(USER_PROFILE!B5="Vegan",IF(I7="Yes",1,0),1)</f>
        <v>1</v>
      </c>
      <c r="P7">
        <f>IF(C7=USER_PROFILE!B4,1,0)</f>
        <v>0</v>
      </c>
      <c r="Q7">
        <f t="shared" si="1"/>
        <v>2</v>
      </c>
      <c r="R7">
        <f t="shared" si="2"/>
        <v>4</v>
      </c>
    </row>
    <row r="8" spans="1:18" x14ac:dyDescent="0.3">
      <c r="A8" s="2">
        <v>6</v>
      </c>
      <c r="B8" s="2" t="s">
        <v>35</v>
      </c>
      <c r="C8" s="2" t="s">
        <v>27</v>
      </c>
      <c r="D8" s="2" t="s">
        <v>36</v>
      </c>
      <c r="E8" s="2" t="s">
        <v>29</v>
      </c>
      <c r="F8" s="2">
        <v>200</v>
      </c>
      <c r="G8" s="2">
        <v>10</v>
      </c>
      <c r="H8" s="2">
        <v>2</v>
      </c>
      <c r="I8" s="2" t="s">
        <v>19</v>
      </c>
      <c r="J8" s="2" t="s">
        <v>37</v>
      </c>
      <c r="K8">
        <f>IF(G8&gt;=USER_PROFILE!B9,1,0)</f>
        <v>1</v>
      </c>
      <c r="L8">
        <f>IF(AND(USER_PROFILE!B10="Yes",H8&lt;=5),1,0)</f>
        <v>0</v>
      </c>
      <c r="M8">
        <f>IF(F8&lt;=USER_PROFILE!B8,1,0)</f>
        <v>0</v>
      </c>
      <c r="N8">
        <f t="shared" si="0"/>
        <v>1</v>
      </c>
      <c r="O8">
        <f>IF(USER_PROFILE!B7="Vegan",IF(I8="Yes",1,0),1)</f>
        <v>1</v>
      </c>
      <c r="P8">
        <f>IF(C8=USER_PROFILE!B6,1,0)</f>
        <v>0</v>
      </c>
      <c r="Q8">
        <f t="shared" si="1"/>
        <v>2</v>
      </c>
      <c r="R8">
        <f t="shared" si="2"/>
        <v>4</v>
      </c>
    </row>
    <row r="9" spans="1:18" x14ac:dyDescent="0.3">
      <c r="A9" s="2">
        <v>10</v>
      </c>
      <c r="B9" s="2" t="s">
        <v>47</v>
      </c>
      <c r="C9" s="2" t="s">
        <v>48</v>
      </c>
      <c r="D9" s="2" t="s">
        <v>49</v>
      </c>
      <c r="E9" s="2" t="s">
        <v>24</v>
      </c>
      <c r="F9" s="2">
        <v>290</v>
      </c>
      <c r="G9" s="2">
        <v>15</v>
      </c>
      <c r="H9" s="2">
        <v>3</v>
      </c>
      <c r="I9" s="2" t="s">
        <v>19</v>
      </c>
      <c r="J9" s="2" t="s">
        <v>50</v>
      </c>
      <c r="K9">
        <f>IF(G9&gt;=USER_PROFILE!B13,1,0)</f>
        <v>1</v>
      </c>
      <c r="L9">
        <f>IF(AND(USER_PROFILE!B14="Yes",H9&lt;=5),1,0)</f>
        <v>0</v>
      </c>
      <c r="M9">
        <f>IF(F9&lt;=USER_PROFILE!B12,1,0)</f>
        <v>0</v>
      </c>
      <c r="N9">
        <f t="shared" si="0"/>
        <v>1</v>
      </c>
      <c r="O9">
        <f>IF(USER_PROFILE!B11="Vegan",IF(I9="Yes",1,0),1)</f>
        <v>1</v>
      </c>
      <c r="P9">
        <f>IF(C9=USER_PROFILE!B10,1,0)</f>
        <v>0</v>
      </c>
      <c r="Q9">
        <f t="shared" si="1"/>
        <v>2</v>
      </c>
      <c r="R9">
        <f t="shared" si="2"/>
        <v>4</v>
      </c>
    </row>
    <row r="10" spans="1:18" x14ac:dyDescent="0.3">
      <c r="A10" s="2">
        <v>11</v>
      </c>
      <c r="B10" s="2" t="s">
        <v>51</v>
      </c>
      <c r="C10" s="2" t="s">
        <v>39</v>
      </c>
      <c r="D10" s="2" t="s">
        <v>28</v>
      </c>
      <c r="E10" s="2" t="s">
        <v>29</v>
      </c>
      <c r="F10" s="2">
        <v>210</v>
      </c>
      <c r="G10" s="2">
        <v>19</v>
      </c>
      <c r="H10" s="2">
        <v>1</v>
      </c>
      <c r="I10" s="2" t="s">
        <v>19</v>
      </c>
      <c r="J10" s="2" t="s">
        <v>42</v>
      </c>
      <c r="K10">
        <f>IF(G10&gt;=USER_PROFILE!B14,1,0)</f>
        <v>1</v>
      </c>
      <c r="L10">
        <f>IF(AND(USER_PROFILE!B15="Yes",H10&lt;=5),1,0)</f>
        <v>0</v>
      </c>
      <c r="M10">
        <f>IF(F10&lt;=USER_PROFILE!B13,1,0)</f>
        <v>0</v>
      </c>
      <c r="N10">
        <f t="shared" si="0"/>
        <v>1</v>
      </c>
      <c r="O10">
        <f>IF(USER_PROFILE!B12="Vegan",IF(I10="Yes",1,0),1)</f>
        <v>1</v>
      </c>
      <c r="P10">
        <f>IF(C10=USER_PROFILE!B11,1,0)</f>
        <v>0</v>
      </c>
      <c r="Q10">
        <f t="shared" si="1"/>
        <v>2</v>
      </c>
      <c r="R10">
        <f t="shared" si="2"/>
        <v>4</v>
      </c>
    </row>
    <row r="11" spans="1:18" x14ac:dyDescent="0.3">
      <c r="A11" s="2">
        <v>13</v>
      </c>
      <c r="B11" s="2" t="s">
        <v>53</v>
      </c>
      <c r="C11" s="2" t="s">
        <v>22</v>
      </c>
      <c r="D11" s="2" t="s">
        <v>23</v>
      </c>
      <c r="E11" s="2" t="s">
        <v>24</v>
      </c>
      <c r="F11" s="2">
        <v>270</v>
      </c>
      <c r="G11" s="2">
        <v>13</v>
      </c>
      <c r="H11" s="2">
        <v>2</v>
      </c>
      <c r="I11" s="2" t="s">
        <v>19</v>
      </c>
      <c r="J11" s="2" t="s">
        <v>25</v>
      </c>
      <c r="K11">
        <f>IF(G11&gt;=USER_PROFILE!B16,1,0)</f>
        <v>1</v>
      </c>
      <c r="L11">
        <f>IF(AND(USER_PROFILE!B17="Yes",H11&lt;=5),1,0)</f>
        <v>0</v>
      </c>
      <c r="M11">
        <f>IF(F11&lt;=USER_PROFILE!B15,1,0)</f>
        <v>0</v>
      </c>
      <c r="N11">
        <f t="shared" si="0"/>
        <v>1</v>
      </c>
      <c r="O11">
        <f>IF(USER_PROFILE!B14="Vegan",IF(I11="Yes",1,0),1)</f>
        <v>1</v>
      </c>
      <c r="P11">
        <f>IF(C11=USER_PROFILE!B13,1,0)</f>
        <v>0</v>
      </c>
      <c r="Q11">
        <f t="shared" si="1"/>
        <v>2</v>
      </c>
      <c r="R11">
        <f t="shared" si="2"/>
        <v>4</v>
      </c>
    </row>
    <row r="12" spans="1:18" x14ac:dyDescent="0.3">
      <c r="A12" s="2">
        <v>14</v>
      </c>
      <c r="B12" s="2" t="s">
        <v>54</v>
      </c>
      <c r="C12" s="2" t="s">
        <v>55</v>
      </c>
      <c r="D12" s="2" t="s">
        <v>56</v>
      </c>
      <c r="E12" s="2" t="s">
        <v>29</v>
      </c>
      <c r="F12" s="2">
        <v>340</v>
      </c>
      <c r="G12" s="2">
        <v>12</v>
      </c>
      <c r="H12" s="2">
        <v>3</v>
      </c>
      <c r="I12" s="2" t="s">
        <v>19</v>
      </c>
      <c r="J12" s="2" t="s">
        <v>55</v>
      </c>
      <c r="K12">
        <f>IF(G12&gt;=USER_PROFILE!B17,1,0)</f>
        <v>1</v>
      </c>
      <c r="L12">
        <f>IF(AND(USER_PROFILE!B18="Yes",H12&lt;=5),1,0)</f>
        <v>0</v>
      </c>
      <c r="M12">
        <f>IF(F12&lt;=USER_PROFILE!B16,1,0)</f>
        <v>0</v>
      </c>
      <c r="N12">
        <f t="shared" si="0"/>
        <v>1</v>
      </c>
      <c r="O12">
        <f>IF(USER_PROFILE!B15="Vegan",IF(I12="Yes",1,0),1)</f>
        <v>1</v>
      </c>
      <c r="P12">
        <f>IF(C12=USER_PROFILE!B14,1,0)</f>
        <v>0</v>
      </c>
      <c r="Q12">
        <f t="shared" si="1"/>
        <v>2</v>
      </c>
      <c r="R12">
        <f t="shared" si="2"/>
        <v>4</v>
      </c>
    </row>
    <row r="13" spans="1:18" x14ac:dyDescent="0.3">
      <c r="A13" s="2">
        <v>18</v>
      </c>
      <c r="B13" s="2" t="s">
        <v>64</v>
      </c>
      <c r="C13" s="2" t="s">
        <v>11</v>
      </c>
      <c r="D13" s="2" t="s">
        <v>65</v>
      </c>
      <c r="E13" s="2" t="s">
        <v>24</v>
      </c>
      <c r="F13" s="2">
        <v>280</v>
      </c>
      <c r="G13" s="2">
        <v>22</v>
      </c>
      <c r="H13" s="2">
        <v>2</v>
      </c>
      <c r="I13" s="2" t="s">
        <v>19</v>
      </c>
      <c r="J13" s="2" t="s">
        <v>15</v>
      </c>
      <c r="K13">
        <f>IF(G13&gt;=USER_PROFILE!B21,1,0)</f>
        <v>1</v>
      </c>
      <c r="L13">
        <f>IF(AND(USER_PROFILE!B22="Yes",H13&lt;=5),1,0)</f>
        <v>0</v>
      </c>
      <c r="M13">
        <f>IF(F13&lt;=USER_PROFILE!B20,1,0)</f>
        <v>0</v>
      </c>
      <c r="N13">
        <f t="shared" si="0"/>
        <v>1</v>
      </c>
      <c r="O13">
        <f>IF(USER_PROFILE!B19="Vegan",IF(I13="Yes",1,0),1)</f>
        <v>1</v>
      </c>
      <c r="P13">
        <f>IF(C13=USER_PROFILE!B18,1,0)</f>
        <v>0</v>
      </c>
      <c r="Q13">
        <f t="shared" si="1"/>
        <v>2</v>
      </c>
      <c r="R13">
        <f t="shared" si="2"/>
        <v>4</v>
      </c>
    </row>
    <row r="14" spans="1:18" x14ac:dyDescent="0.3">
      <c r="A14" s="2">
        <v>3</v>
      </c>
      <c r="B14" s="2" t="s">
        <v>21</v>
      </c>
      <c r="C14" s="2" t="s">
        <v>22</v>
      </c>
      <c r="D14" s="2" t="s">
        <v>23</v>
      </c>
      <c r="E14" s="2" t="s">
        <v>24</v>
      </c>
      <c r="F14" s="2">
        <v>260</v>
      </c>
      <c r="G14" s="2">
        <v>14</v>
      </c>
      <c r="H14" s="2">
        <v>2</v>
      </c>
      <c r="I14" s="2" t="s">
        <v>19</v>
      </c>
      <c r="J14" s="2" t="s">
        <v>25</v>
      </c>
      <c r="K14">
        <f>IF(G14&gt;=USER_PROFILE!B6,1,0)</f>
        <v>0</v>
      </c>
      <c r="L14">
        <f>IF(AND(USER_PROFILE!B7="Yes",H14&lt;=5),1,0)</f>
        <v>0</v>
      </c>
      <c r="M14">
        <f>IF(F14&lt;=USER_PROFILE!B5,1,0)</f>
        <v>0</v>
      </c>
      <c r="N14">
        <f t="shared" si="0"/>
        <v>0</v>
      </c>
      <c r="O14">
        <f>IF(USER_PROFILE!B4="Vegan",IF(I14="Yes",1,0),1)</f>
        <v>1</v>
      </c>
      <c r="P14">
        <f>IF(C14=USER_PROFILE!B3,1,0)</f>
        <v>0</v>
      </c>
      <c r="Q14">
        <f t="shared" si="1"/>
        <v>2</v>
      </c>
      <c r="R14">
        <f t="shared" si="2"/>
        <v>3</v>
      </c>
    </row>
    <row r="15" spans="1:18" x14ac:dyDescent="0.3">
      <c r="A15" s="2">
        <v>7</v>
      </c>
      <c r="B15" s="2" t="s">
        <v>38</v>
      </c>
      <c r="C15" s="2" t="s">
        <v>39</v>
      </c>
      <c r="D15" s="2" t="s">
        <v>40</v>
      </c>
      <c r="E15" s="2" t="s">
        <v>41</v>
      </c>
      <c r="F15" s="2">
        <v>220</v>
      </c>
      <c r="G15" s="2">
        <v>12</v>
      </c>
      <c r="H15" s="2">
        <v>1</v>
      </c>
      <c r="I15" s="2" t="s">
        <v>19</v>
      </c>
      <c r="J15" s="2" t="s">
        <v>42</v>
      </c>
      <c r="K15">
        <f>IF(G15&gt;=USER_PROFILE!B10,1,0)</f>
        <v>1</v>
      </c>
      <c r="L15">
        <f>IF(AND(USER_PROFILE!B11="Yes",H15&lt;=5),1,0)</f>
        <v>0</v>
      </c>
      <c r="M15">
        <f>IF(F15&lt;=USER_PROFILE!B9,1,0)</f>
        <v>0</v>
      </c>
      <c r="N15">
        <f t="shared" si="0"/>
        <v>1</v>
      </c>
      <c r="O15">
        <f>IF(USER_PROFILE!B8="Vegan",IF(I15="Yes",1,0),1)</f>
        <v>1</v>
      </c>
      <c r="P15">
        <f>IF(C15=USER_PROFILE!B7,1,0)</f>
        <v>0</v>
      </c>
      <c r="Q15">
        <f t="shared" si="1"/>
        <v>1</v>
      </c>
      <c r="R15">
        <f t="shared" si="2"/>
        <v>3</v>
      </c>
    </row>
    <row r="16" spans="1:18" x14ac:dyDescent="0.3">
      <c r="A16" s="2">
        <v>9</v>
      </c>
      <c r="B16" s="2" t="s">
        <v>45</v>
      </c>
      <c r="C16" s="2" t="s">
        <v>11</v>
      </c>
      <c r="D16" s="2" t="s">
        <v>46</v>
      </c>
      <c r="E16" s="2" t="s">
        <v>18</v>
      </c>
      <c r="F16" s="2">
        <v>260</v>
      </c>
      <c r="G16" s="2">
        <v>9</v>
      </c>
      <c r="H16" s="2">
        <v>2</v>
      </c>
      <c r="I16" s="2" t="s">
        <v>19</v>
      </c>
      <c r="J16" s="2" t="s">
        <v>20</v>
      </c>
      <c r="K16">
        <f>IF(G16&gt;=USER_PROFILE!B12,1,0)</f>
        <v>1</v>
      </c>
      <c r="L16">
        <f>IF(AND(USER_PROFILE!B13="Yes",H16&lt;=5),1,0)</f>
        <v>0</v>
      </c>
      <c r="M16">
        <f>IF(F16&lt;=USER_PROFILE!B11,1,0)</f>
        <v>0</v>
      </c>
      <c r="N16">
        <f t="shared" si="0"/>
        <v>1</v>
      </c>
      <c r="O16">
        <f>IF(USER_PROFILE!B10="Vegan",IF(I16="Yes",1,0),1)</f>
        <v>1</v>
      </c>
      <c r="P16">
        <f>IF(C16=USER_PROFILE!B9,1,0)</f>
        <v>0</v>
      </c>
      <c r="Q16">
        <f t="shared" si="1"/>
        <v>1</v>
      </c>
      <c r="R16">
        <f t="shared" si="2"/>
        <v>3</v>
      </c>
    </row>
    <row r="17" spans="1:18" x14ac:dyDescent="0.3">
      <c r="A17" s="2">
        <v>15</v>
      </c>
      <c r="B17" s="2" t="s">
        <v>57</v>
      </c>
      <c r="C17" s="2" t="s">
        <v>39</v>
      </c>
      <c r="D17" s="2" t="s">
        <v>58</v>
      </c>
      <c r="E17" s="2" t="s">
        <v>41</v>
      </c>
      <c r="F17" s="2">
        <v>250</v>
      </c>
      <c r="G17" s="2">
        <v>8</v>
      </c>
      <c r="H17" s="2">
        <v>1</v>
      </c>
      <c r="I17" s="2" t="s">
        <v>19</v>
      </c>
      <c r="J17" s="2" t="s">
        <v>42</v>
      </c>
      <c r="K17">
        <f>IF(G17&gt;=USER_PROFILE!B18,1,0)</f>
        <v>1</v>
      </c>
      <c r="L17">
        <f>IF(AND(USER_PROFILE!B19="Yes",H17&lt;=5),1,0)</f>
        <v>0</v>
      </c>
      <c r="M17">
        <f>IF(F17&lt;=USER_PROFILE!B17,1,0)</f>
        <v>0</v>
      </c>
      <c r="N17">
        <f t="shared" si="0"/>
        <v>1</v>
      </c>
      <c r="O17">
        <f>IF(USER_PROFILE!B16="Vegan",IF(I17="Yes",1,0),1)</f>
        <v>1</v>
      </c>
      <c r="P17">
        <f>IF(C17=USER_PROFILE!B15,1,0)</f>
        <v>0</v>
      </c>
      <c r="Q17">
        <f t="shared" si="1"/>
        <v>1</v>
      </c>
      <c r="R17">
        <f t="shared" si="2"/>
        <v>3</v>
      </c>
    </row>
    <row r="18" spans="1:18" x14ac:dyDescent="0.3">
      <c r="A18" s="2">
        <v>16</v>
      </c>
      <c r="B18" s="2" t="s">
        <v>59</v>
      </c>
      <c r="C18" s="2" t="s">
        <v>27</v>
      </c>
      <c r="D18" s="2" t="s">
        <v>60</v>
      </c>
      <c r="E18" s="2" t="s">
        <v>61</v>
      </c>
      <c r="F18" s="2">
        <v>300</v>
      </c>
      <c r="G18" s="2">
        <v>11</v>
      </c>
      <c r="H18" s="2">
        <v>5</v>
      </c>
      <c r="I18" s="2" t="s">
        <v>19</v>
      </c>
      <c r="J18" s="2" t="s">
        <v>62</v>
      </c>
      <c r="K18">
        <f>IF(G18&gt;=USER_PROFILE!B19,1,0)</f>
        <v>1</v>
      </c>
      <c r="L18">
        <f>IF(AND(USER_PROFILE!B20="Yes",H18&lt;=5),1,0)</f>
        <v>0</v>
      </c>
      <c r="M18">
        <f>IF(F18&lt;=USER_PROFILE!B18,1,0)</f>
        <v>0</v>
      </c>
      <c r="N18">
        <f t="shared" si="0"/>
        <v>1</v>
      </c>
      <c r="O18">
        <f>IF(USER_PROFILE!B17="Vegan",IF(I18="Yes",1,0),1)</f>
        <v>1</v>
      </c>
      <c r="P18">
        <f>IF(C18=USER_PROFILE!B16,1,0)</f>
        <v>0</v>
      </c>
      <c r="Q18">
        <f t="shared" si="1"/>
        <v>1</v>
      </c>
      <c r="R18">
        <f t="shared" si="2"/>
        <v>3</v>
      </c>
    </row>
    <row r="19" spans="1:18" x14ac:dyDescent="0.3">
      <c r="A19" s="2">
        <v>17</v>
      </c>
      <c r="B19" s="2" t="s">
        <v>63</v>
      </c>
      <c r="C19" s="2" t="s">
        <v>39</v>
      </c>
      <c r="D19" s="2" t="s">
        <v>49</v>
      </c>
      <c r="E19" s="2" t="s">
        <v>41</v>
      </c>
      <c r="F19" s="2">
        <v>230</v>
      </c>
      <c r="G19" s="2">
        <v>14</v>
      </c>
      <c r="H19" s="2">
        <v>2</v>
      </c>
      <c r="I19" s="2" t="s">
        <v>19</v>
      </c>
      <c r="J19" s="2" t="s">
        <v>42</v>
      </c>
      <c r="K19">
        <f>IF(G19&gt;=USER_PROFILE!B20,1,0)</f>
        <v>1</v>
      </c>
      <c r="L19">
        <f>IF(AND(USER_PROFILE!B21="Yes",H19&lt;=5),1,0)</f>
        <v>0</v>
      </c>
      <c r="M19">
        <f>IF(F19&lt;=USER_PROFILE!B19,1,0)</f>
        <v>0</v>
      </c>
      <c r="N19">
        <f t="shared" si="0"/>
        <v>1</v>
      </c>
      <c r="O19">
        <f>IF(USER_PROFILE!B18="Vegan",IF(I19="Yes",1,0),1)</f>
        <v>1</v>
      </c>
      <c r="P19">
        <f>IF(C19=USER_PROFILE!B17,1,0)</f>
        <v>0</v>
      </c>
      <c r="Q19">
        <f t="shared" si="1"/>
        <v>1</v>
      </c>
      <c r="R19">
        <f t="shared" si="2"/>
        <v>3</v>
      </c>
    </row>
    <row r="20" spans="1:18" x14ac:dyDescent="0.3">
      <c r="A20" s="2">
        <v>19</v>
      </c>
      <c r="B20" s="2" t="s">
        <v>66</v>
      </c>
      <c r="C20" s="2" t="s">
        <v>11</v>
      </c>
      <c r="D20" s="2" t="s">
        <v>67</v>
      </c>
      <c r="E20" s="2" t="s">
        <v>18</v>
      </c>
      <c r="F20" s="2">
        <v>270</v>
      </c>
      <c r="G20" s="2">
        <v>9</v>
      </c>
      <c r="H20" s="2">
        <v>2</v>
      </c>
      <c r="I20" s="2" t="s">
        <v>19</v>
      </c>
      <c r="J20" s="2" t="s">
        <v>20</v>
      </c>
      <c r="K20">
        <f>IF(G20&gt;=USER_PROFILE!B22,1,0)</f>
        <v>1</v>
      </c>
      <c r="L20">
        <f>IF(AND(USER_PROFILE!B23="Yes",H20&lt;=5),1,0)</f>
        <v>0</v>
      </c>
      <c r="M20">
        <f>IF(F20&lt;=USER_PROFILE!B21,1,0)</f>
        <v>0</v>
      </c>
      <c r="N20">
        <f t="shared" si="0"/>
        <v>1</v>
      </c>
      <c r="O20">
        <f>IF(USER_PROFILE!B20="Vegan",IF(I20="Yes",1,0),1)</f>
        <v>1</v>
      </c>
      <c r="P20">
        <f>IF(C20=USER_PROFILE!B19,1,0)</f>
        <v>0</v>
      </c>
      <c r="Q20">
        <f t="shared" si="1"/>
        <v>1</v>
      </c>
      <c r="R20">
        <f t="shared" si="2"/>
        <v>3</v>
      </c>
    </row>
    <row r="21" spans="1:18" x14ac:dyDescent="0.3">
      <c r="A21" s="2">
        <v>20</v>
      </c>
      <c r="B21" s="2" t="s">
        <v>68</v>
      </c>
      <c r="C21" s="2" t="s">
        <v>39</v>
      </c>
      <c r="D21" s="2" t="s">
        <v>36</v>
      </c>
      <c r="E21" s="2" t="s">
        <v>41</v>
      </c>
      <c r="F21" s="2">
        <v>260</v>
      </c>
      <c r="G21" s="2">
        <v>16</v>
      </c>
      <c r="H21" s="2">
        <v>1</v>
      </c>
      <c r="I21" s="2" t="s">
        <v>19</v>
      </c>
      <c r="J21" s="2" t="s">
        <v>42</v>
      </c>
      <c r="K21">
        <f>IF(G21&gt;=USER_PROFILE!B23,1,0)</f>
        <v>1</v>
      </c>
      <c r="L21">
        <f>IF(AND(USER_PROFILE!B24="Yes",H21&lt;=5),1,0)</f>
        <v>0</v>
      </c>
      <c r="M21">
        <f>IF(F21&lt;=USER_PROFILE!B22,1,0)</f>
        <v>0</v>
      </c>
      <c r="N21">
        <f t="shared" si="0"/>
        <v>1</v>
      </c>
      <c r="O21">
        <f>IF(USER_PROFILE!B21="Vegan",IF(I21="Yes",1,0),1)</f>
        <v>1</v>
      </c>
      <c r="P21">
        <f>IF(C21=USER_PROFILE!B20,1,0)</f>
        <v>0</v>
      </c>
      <c r="Q21">
        <f t="shared" si="1"/>
        <v>1</v>
      </c>
      <c r="R21">
        <f t="shared" si="2"/>
        <v>3</v>
      </c>
    </row>
  </sheetData>
  <sortState xmlns:xlrd2="http://schemas.microsoft.com/office/spreadsheetml/2017/richdata2" ref="A2:R21">
    <sortCondition descending="1" ref="R2:R21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E60FC-B9E4-4786-9B24-A51D831007C8}">
  <dimension ref="A1:C7"/>
  <sheetViews>
    <sheetView workbookViewId="0">
      <selection activeCell="D18" sqref="D18"/>
    </sheetView>
  </sheetViews>
  <sheetFormatPr defaultRowHeight="14.4" x14ac:dyDescent="0.3"/>
  <cols>
    <col min="1" max="1" width="15.44140625" customWidth="1"/>
    <col min="2" max="2" width="16.33203125" customWidth="1"/>
    <col min="3" max="3" width="14.88671875" customWidth="1"/>
  </cols>
  <sheetData>
    <row r="1" spans="1:3" x14ac:dyDescent="0.3">
      <c r="A1" s="1" t="s">
        <v>4</v>
      </c>
      <c r="B1" s="1" t="s">
        <v>69</v>
      </c>
      <c r="C1" s="1" t="s">
        <v>70</v>
      </c>
    </row>
    <row r="2" spans="1:3" x14ac:dyDescent="0.3">
      <c r="A2" s="3" t="s">
        <v>13</v>
      </c>
      <c r="B2" s="3" t="s">
        <v>71</v>
      </c>
      <c r="C2" s="3">
        <v>3</v>
      </c>
    </row>
    <row r="3" spans="1:3" x14ac:dyDescent="0.3">
      <c r="A3" s="3" t="s">
        <v>29</v>
      </c>
      <c r="B3" s="3" t="s">
        <v>71</v>
      </c>
      <c r="C3" s="3">
        <v>2</v>
      </c>
    </row>
    <row r="4" spans="1:3" x14ac:dyDescent="0.3">
      <c r="A4" s="3" t="s">
        <v>24</v>
      </c>
      <c r="B4" s="3" t="s">
        <v>41</v>
      </c>
      <c r="C4" s="3">
        <v>2</v>
      </c>
    </row>
    <row r="5" spans="1:3" x14ac:dyDescent="0.3">
      <c r="A5" s="3" t="s">
        <v>18</v>
      </c>
      <c r="B5" s="3" t="s">
        <v>71</v>
      </c>
      <c r="C5" s="3">
        <v>1</v>
      </c>
    </row>
    <row r="6" spans="1:3" x14ac:dyDescent="0.3">
      <c r="A6" s="3" t="s">
        <v>41</v>
      </c>
      <c r="B6" s="3" t="s">
        <v>71</v>
      </c>
      <c r="C6" s="3">
        <v>1</v>
      </c>
    </row>
    <row r="7" spans="1:3" x14ac:dyDescent="0.3">
      <c r="A7" s="3" t="s">
        <v>61</v>
      </c>
      <c r="B7" s="3" t="s">
        <v>41</v>
      </c>
      <c r="C7" s="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797DD-84D5-46A2-83FA-53AADFAF9975}">
  <dimension ref="A1:B7"/>
  <sheetViews>
    <sheetView workbookViewId="0">
      <selection activeCell="A2" sqref="A2"/>
    </sheetView>
  </sheetViews>
  <sheetFormatPr defaultRowHeight="14.4" x14ac:dyDescent="0.3"/>
  <cols>
    <col min="1" max="1" width="16.21875" customWidth="1"/>
    <col min="2" max="2" width="9.6640625" customWidth="1"/>
  </cols>
  <sheetData>
    <row r="1" spans="1:2" x14ac:dyDescent="0.3">
      <c r="A1" s="1" t="s">
        <v>79</v>
      </c>
      <c r="B1" s="1" t="s">
        <v>80</v>
      </c>
    </row>
    <row r="2" spans="1:2" x14ac:dyDescent="0.3">
      <c r="A2" s="3" t="s">
        <v>72</v>
      </c>
      <c r="B2" s="3" t="s">
        <v>11</v>
      </c>
    </row>
    <row r="3" spans="1:2" x14ac:dyDescent="0.3">
      <c r="A3" s="3" t="s">
        <v>73</v>
      </c>
      <c r="B3" s="3" t="s">
        <v>74</v>
      </c>
    </row>
    <row r="4" spans="1:2" x14ac:dyDescent="0.3">
      <c r="A4" s="3" t="s">
        <v>75</v>
      </c>
      <c r="B4" s="3">
        <v>300</v>
      </c>
    </row>
    <row r="5" spans="1:2" x14ac:dyDescent="0.3">
      <c r="A5" s="3" t="s">
        <v>76</v>
      </c>
      <c r="B5" s="3">
        <v>15</v>
      </c>
    </row>
    <row r="6" spans="1:2" x14ac:dyDescent="0.3">
      <c r="A6" s="3" t="s">
        <v>77</v>
      </c>
      <c r="B6" s="3" t="s">
        <v>19</v>
      </c>
    </row>
    <row r="7" spans="1:2" x14ac:dyDescent="0.3">
      <c r="A7" s="3" t="s">
        <v>78</v>
      </c>
      <c r="B7" s="3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RECIPES_DB</vt:lpstr>
      <vt:lpstr>FLAVOR_PAIRING_DB</vt:lpstr>
      <vt:lpstr>USER_PROFILE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Jashwanth Ramadugu</dc:creator>
  <cp:lastModifiedBy>Jashwanth Ramadugu</cp:lastModifiedBy>
  <dcterms:created xsi:type="dcterms:W3CDTF">2026-02-05T12:27:18Z</dcterms:created>
  <dcterms:modified xsi:type="dcterms:W3CDTF">2026-02-05T18:10:35Z</dcterms:modified>
</cp:coreProperties>
</file>